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LYN\Documents\software_inventario\"/>
    </mc:Choice>
  </mc:AlternateContent>
  <xr:revisionPtr revIDLastSave="0" documentId="8_{9087EF45-DE76-44B8-ABC6-8847450457C9}" xr6:coauthVersionLast="47" xr6:coauthVersionMax="47" xr10:uidLastSave="{00000000-0000-0000-0000-000000000000}"/>
  <bookViews>
    <workbookView xWindow="-120" yWindow="-120" windowWidth="20730" windowHeight="11160" xr2:uid="{387FA09C-299C-441B-BC87-D47B052A1EF1}"/>
  </bookViews>
  <sheets>
    <sheet name="Productos" sheetId="1" r:id="rId1"/>
    <sheet name="Proveedores mensuales" sheetId="2" r:id="rId2"/>
    <sheet name="Gastos Adm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I11" i="3"/>
  <c r="I10" i="3"/>
  <c r="I5" i="3"/>
  <c r="I7" i="3"/>
  <c r="I6" i="3"/>
  <c r="C41" i="3"/>
  <c r="C46" i="3"/>
  <c r="C6" i="3"/>
  <c r="I4" i="3"/>
  <c r="G14" i="2"/>
  <c r="C12" i="3"/>
  <c r="C17" i="3"/>
  <c r="G77" i="1"/>
  <c r="G76" i="1"/>
  <c r="F76" i="1"/>
  <c r="G72" i="1"/>
  <c r="F72" i="1"/>
  <c r="G71" i="1"/>
  <c r="F71" i="1"/>
  <c r="G70" i="1"/>
  <c r="F70" i="1"/>
  <c r="G69" i="1"/>
  <c r="F69" i="1"/>
  <c r="F63" i="1"/>
  <c r="G63" i="1"/>
  <c r="F62" i="1"/>
  <c r="G62" i="1"/>
  <c r="G59" i="1"/>
  <c r="G60" i="1"/>
  <c r="G61" i="1"/>
  <c r="F59" i="1"/>
  <c r="F60" i="1"/>
  <c r="F61" i="1"/>
  <c r="G58" i="1"/>
  <c r="F58" i="1"/>
  <c r="G57" i="1"/>
  <c r="F57" i="1"/>
  <c r="G56" i="1"/>
  <c r="F56" i="1"/>
  <c r="G55" i="1"/>
  <c r="G42" i="1"/>
  <c r="F42" i="1"/>
  <c r="G33" i="1"/>
  <c r="F33" i="1"/>
  <c r="G32" i="1"/>
  <c r="G31" i="1"/>
  <c r="G30" i="1"/>
  <c r="G29" i="1"/>
  <c r="G28" i="1"/>
  <c r="G24" i="1"/>
  <c r="G46" i="1"/>
</calcChain>
</file>

<file path=xl/sharedStrings.xml><?xml version="1.0" encoding="utf-8"?>
<sst xmlns="http://schemas.openxmlformats.org/spreadsheetml/2006/main" count="415" uniqueCount="266">
  <si>
    <t xml:space="preserve">Código </t>
  </si>
  <si>
    <t>Descripción de Artículo</t>
  </si>
  <si>
    <t xml:space="preserve">Categoría </t>
  </si>
  <si>
    <t xml:space="preserve">Cantidad </t>
  </si>
  <si>
    <t>Valor Artículo (unitario)</t>
  </si>
  <si>
    <t>Valor total</t>
  </si>
  <si>
    <t>Papel bond A4 (resma 500 hojas)</t>
  </si>
  <si>
    <t>Carpetas colgantes</t>
  </si>
  <si>
    <t>Grapadora metálica</t>
  </si>
  <si>
    <t>Cinta adhesiva transparente 18mm</t>
  </si>
  <si>
    <t>Clips metálicos 100 unidades</t>
  </si>
  <si>
    <t>Perforadora de dos huecos</t>
  </si>
  <si>
    <t>Post-it 3x3 pulgadas</t>
  </si>
  <si>
    <t>Archivadores de palanca tamaño oficio</t>
  </si>
  <si>
    <t>Resma de papel color A4</t>
  </si>
  <si>
    <t>Sellos automáticos personalizados</t>
  </si>
  <si>
    <t>Cuaderno rayado 100 hojas</t>
  </si>
  <si>
    <t>Cuaderno cuadriculado 100 hojas</t>
  </si>
  <si>
    <t>Lápiz de grafito HB</t>
  </si>
  <si>
    <t>Bolígrafo azul mediano</t>
  </si>
  <si>
    <t>Bolígrafo rojo</t>
  </si>
  <si>
    <t>Borradores blancos</t>
  </si>
  <si>
    <t>Sacapuntas plástico</t>
  </si>
  <si>
    <t>Juego geométrico de 4 piezas</t>
  </si>
  <si>
    <t>Crayones de 12 colores</t>
  </si>
  <si>
    <t>Lápices de colores 24 unidades</t>
  </si>
  <si>
    <t>Diccionario Inglés-Español</t>
  </si>
  <si>
    <t>Agenda ejecutiva 2025</t>
  </si>
  <si>
    <t>Memoria USB 32GB</t>
  </si>
  <si>
    <t>Papel higiénico institucional (4 rollos)</t>
  </si>
  <si>
    <t>Jabón líquido antibacterial 1L</t>
  </si>
  <si>
    <t>Toallas de papel absorbente</t>
  </si>
  <si>
    <t>Escobas y recogedores</t>
  </si>
  <si>
    <t>Pinturas acrílicas 6 colores</t>
  </si>
  <si>
    <t>Pinceles surtidos</t>
  </si>
  <si>
    <t>Cartulinas surtidas 50 unidades</t>
  </si>
  <si>
    <t>Foamy colores surtidos</t>
  </si>
  <si>
    <t>Silicón líquido 100 ml</t>
  </si>
  <si>
    <t>Cinta decorativa (glitter)</t>
  </si>
  <si>
    <t>Pizarras acrílicas magnéticas</t>
  </si>
  <si>
    <t>Marcadores para pizarra</t>
  </si>
  <si>
    <t>Láminas ilustrativas</t>
  </si>
  <si>
    <t>Tarjetas de aprendizaje</t>
  </si>
  <si>
    <t>Bolsas plásticas medianas</t>
  </si>
  <si>
    <t>Fundas de papel regalo</t>
  </si>
  <si>
    <t>Cajas de embalaje medianas</t>
  </si>
  <si>
    <t>Papel perforado A4 CX50 FD 75 GR DISEÑOS</t>
  </si>
  <si>
    <t>Notitas adhesivas neón 3x3 (75x75 mm)</t>
  </si>
  <si>
    <t>Oficina</t>
  </si>
  <si>
    <t>Unidad de medida</t>
  </si>
  <si>
    <t>Resma</t>
  </si>
  <si>
    <t>Unidad</t>
  </si>
  <si>
    <t>Caja</t>
  </si>
  <si>
    <t>Paquete</t>
  </si>
  <si>
    <t>Pastas plásticas A/3 colores (100)</t>
  </si>
  <si>
    <t>Set</t>
  </si>
  <si>
    <t>Escolar</t>
  </si>
  <si>
    <t>L0040060</t>
  </si>
  <si>
    <t>L0040061</t>
  </si>
  <si>
    <t>L0040062</t>
  </si>
  <si>
    <t>L0040063</t>
  </si>
  <si>
    <t>L0040064</t>
  </si>
  <si>
    <t>L0040065</t>
  </si>
  <si>
    <t>L0040066</t>
  </si>
  <si>
    <t>L0040067</t>
  </si>
  <si>
    <t>L0040068</t>
  </si>
  <si>
    <t>L0040069</t>
  </si>
  <si>
    <t>L0040070</t>
  </si>
  <si>
    <t>L0040071</t>
  </si>
  <si>
    <t>F00800316</t>
  </si>
  <si>
    <t>F00800317</t>
  </si>
  <si>
    <t>F00800318</t>
  </si>
  <si>
    <t>F00800319</t>
  </si>
  <si>
    <t>F00800320</t>
  </si>
  <si>
    <t>F00800321</t>
  </si>
  <si>
    <t>F00800322</t>
  </si>
  <si>
    <t>F00800323</t>
  </si>
  <si>
    <t>F00800324</t>
  </si>
  <si>
    <t>F00800325</t>
  </si>
  <si>
    <t>F00800326</t>
  </si>
  <si>
    <t xml:space="preserve">Bosque misterioso libro de colorear </t>
  </si>
  <si>
    <t>Chiqui mi libro de recortes</t>
  </si>
  <si>
    <t>Los trabalenguas educativos C</t>
  </si>
  <si>
    <t>Nacho comprensión lectora B</t>
  </si>
  <si>
    <t>Nacho Ecuatoriano ED.2025 112PAG N EDICI</t>
  </si>
  <si>
    <t>Pachito dibuja</t>
  </si>
  <si>
    <t>Sangre de campeón invensible</t>
  </si>
  <si>
    <t>Librería</t>
  </si>
  <si>
    <t>Calculadora bolsillo CASIO HL-4A-W(10)</t>
  </si>
  <si>
    <t>Calculadora científica Casio FX-82LECW</t>
  </si>
  <si>
    <t>Calculadora Bolsillo jouinus JS-700 METALI</t>
  </si>
  <si>
    <t>Calculadora RIO 12 dígitos DELI SOLAR</t>
  </si>
  <si>
    <t>Mouse óptico GENIUS DX110 NEGRO US USB</t>
  </si>
  <si>
    <t>Audífonos alámbricos XTRATECH GAMER + LUZ 6HS-90</t>
  </si>
  <si>
    <t>Parlante computadora D-05A 3.5MM USB YST</t>
  </si>
  <si>
    <t>Tecnología</t>
  </si>
  <si>
    <t>PL68790</t>
  </si>
  <si>
    <t>PL68791</t>
  </si>
  <si>
    <t>PL68792</t>
  </si>
  <si>
    <t>PL68793</t>
  </si>
  <si>
    <t>PL68794</t>
  </si>
  <si>
    <t>PL68795</t>
  </si>
  <si>
    <t>PL68796</t>
  </si>
  <si>
    <t>PL68797</t>
  </si>
  <si>
    <t>PL68798</t>
  </si>
  <si>
    <t>A0080202</t>
  </si>
  <si>
    <t>A0080203</t>
  </si>
  <si>
    <t>A0080204</t>
  </si>
  <si>
    <t>A0080205</t>
  </si>
  <si>
    <t>A0080206</t>
  </si>
  <si>
    <t>A0080207</t>
  </si>
  <si>
    <t>A0080208</t>
  </si>
  <si>
    <t>A0080209</t>
  </si>
  <si>
    <t>Papel toalla manos blanco en Z 150 FRESKU</t>
  </si>
  <si>
    <t>Rollo</t>
  </si>
  <si>
    <t>Aseo</t>
  </si>
  <si>
    <t>F00908340</t>
  </si>
  <si>
    <t>F00908341</t>
  </si>
  <si>
    <t>F00908342</t>
  </si>
  <si>
    <t>Botella</t>
  </si>
  <si>
    <t>Toalla 029 x 027 económica MAR Y SOL</t>
  </si>
  <si>
    <t>F00908343</t>
  </si>
  <si>
    <t>F00908344</t>
  </si>
  <si>
    <t>Desinfectante multisuperficie 1L MULTIUSO</t>
  </si>
  <si>
    <t>F00908345</t>
  </si>
  <si>
    <t>F00908346</t>
  </si>
  <si>
    <t>Manualidades</t>
  </si>
  <si>
    <t>CR0644401</t>
  </si>
  <si>
    <t>CR0644402</t>
  </si>
  <si>
    <t>CR0644403</t>
  </si>
  <si>
    <t>CR0644404</t>
  </si>
  <si>
    <t>CR0644405</t>
  </si>
  <si>
    <t>Rollos</t>
  </si>
  <si>
    <t>CR0644406</t>
  </si>
  <si>
    <t>Botón 12 MM multicolor 376</t>
  </si>
  <si>
    <t>Figuras plásticas para maquetas personas</t>
  </si>
  <si>
    <t>Funda regalo colores enteros large</t>
  </si>
  <si>
    <t xml:space="preserve">Fomix figura adhesiva unicornio </t>
  </si>
  <si>
    <t xml:space="preserve">Fomix figura número ADH X 120 </t>
  </si>
  <si>
    <t>Fomix figura geométricas x 90 C</t>
  </si>
  <si>
    <t xml:space="preserve">Fomix figura laboratorio 3DST-EVS128 </t>
  </si>
  <si>
    <t>Titere de peluche animales M&amp;G</t>
  </si>
  <si>
    <t xml:space="preserve">Fomix ADH adhesivo dinosaurios 32PZ aprendo </t>
  </si>
  <si>
    <t>CR0644407</t>
  </si>
  <si>
    <t>CR0644408</t>
  </si>
  <si>
    <t>CR0644409</t>
  </si>
  <si>
    <t>CR0644410</t>
  </si>
  <si>
    <t>CR0644411</t>
  </si>
  <si>
    <t>CR0644412</t>
  </si>
  <si>
    <t>CR0644413</t>
  </si>
  <si>
    <t>CR0644414</t>
  </si>
  <si>
    <t>CR0644415</t>
  </si>
  <si>
    <t>F00801483</t>
  </si>
  <si>
    <t>Recursos didácticos</t>
  </si>
  <si>
    <t xml:space="preserve">Juego didáctico Rompecabezas </t>
  </si>
  <si>
    <t>Rompecabezas madera 80 PZS Jumbo</t>
  </si>
  <si>
    <t xml:space="preserve">Señalética </t>
  </si>
  <si>
    <t>Maquetas de cartón PRAMADI JR</t>
  </si>
  <si>
    <t>Sticker figura corazón madera x8 DIY</t>
  </si>
  <si>
    <t>F00801484</t>
  </si>
  <si>
    <t>F00801485</t>
  </si>
  <si>
    <t>F00801486</t>
  </si>
  <si>
    <t>F00801487</t>
  </si>
  <si>
    <t>F00801488</t>
  </si>
  <si>
    <t>F00801489</t>
  </si>
  <si>
    <t>F00801490</t>
  </si>
  <si>
    <t>F00801491</t>
  </si>
  <si>
    <t>Otros</t>
  </si>
  <si>
    <t>Vela Cumpleaños</t>
  </si>
  <si>
    <t>Yeso libra</t>
  </si>
  <si>
    <t>Muso ECO 100%</t>
  </si>
  <si>
    <t>F00821208</t>
  </si>
  <si>
    <t>F00821209</t>
  </si>
  <si>
    <t>F00821210</t>
  </si>
  <si>
    <t>F00821211</t>
  </si>
  <si>
    <t>F00821212</t>
  </si>
  <si>
    <t>F00821213</t>
  </si>
  <si>
    <t>PROVEEDORES</t>
  </si>
  <si>
    <t>MES</t>
  </si>
  <si>
    <t xml:space="preserve">VALOR </t>
  </si>
  <si>
    <t>BICO INTERNACIONAL S.A</t>
  </si>
  <si>
    <t>EXPOCSA</t>
  </si>
  <si>
    <t>PATRICIA YEPEZ</t>
  </si>
  <si>
    <t>REPCOMPLAST</t>
  </si>
  <si>
    <t>REX R PLASTIC</t>
  </si>
  <si>
    <t>JABEIMP</t>
  </si>
  <si>
    <t>STRONGIMPORT MYM S.A.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</si>
  <si>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</si>
  <si>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</si>
  <si>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</si>
  <si>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</si>
  <si>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</si>
  <si>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</si>
  <si>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</si>
  <si>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</si>
  <si>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</si>
  <si>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</si>
  <si>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</si>
  <si>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</si>
  <si>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Servicios Básicos</t>
  </si>
  <si>
    <t>Sra. Ely</t>
  </si>
  <si>
    <t>Sr. Xavier</t>
  </si>
  <si>
    <t>Valor</t>
  </si>
  <si>
    <t>Total</t>
  </si>
  <si>
    <t>Nro.</t>
  </si>
  <si>
    <t>Luz</t>
  </si>
  <si>
    <t>Arriendo</t>
  </si>
  <si>
    <t>Internet</t>
  </si>
  <si>
    <t>Agua</t>
  </si>
  <si>
    <t>Gastos fijos</t>
  </si>
  <si>
    <t>Servicio de seguridad</t>
  </si>
  <si>
    <t xml:space="preserve">Valor </t>
  </si>
  <si>
    <t>Año 2024</t>
  </si>
  <si>
    <t>WorldTech</t>
  </si>
  <si>
    <t>Distribuidora Kathia</t>
  </si>
  <si>
    <t xml:space="preserve">Costos Fijos </t>
  </si>
  <si>
    <t>Costo</t>
  </si>
  <si>
    <t xml:space="preserve">Arriendo </t>
  </si>
  <si>
    <t xml:space="preserve">Gastos Administrativos </t>
  </si>
  <si>
    <t xml:space="preserve">Amortización de equipos y maquinaria </t>
  </si>
  <si>
    <t xml:space="preserve">Gerente </t>
  </si>
  <si>
    <t>TOTAL</t>
  </si>
  <si>
    <t xml:space="preserve">Equipos y maquinaría </t>
  </si>
  <si>
    <t>Vitrinas</t>
  </si>
  <si>
    <t>grandes (libros)</t>
  </si>
  <si>
    <t>medianas (varios)</t>
  </si>
  <si>
    <t>Casilleros</t>
  </si>
  <si>
    <t>mueble (papel regalo)</t>
  </si>
  <si>
    <t>mueble (láminas educativas)</t>
  </si>
  <si>
    <t>meble (cuentos)</t>
  </si>
  <si>
    <t>Cantidad</t>
  </si>
  <si>
    <t>Gandolas</t>
  </si>
  <si>
    <t>Centro</t>
  </si>
  <si>
    <t>Laterales</t>
  </si>
  <si>
    <t>mueble (libros códigos)</t>
  </si>
  <si>
    <t>Bodega</t>
  </si>
  <si>
    <t>Mueble (espuma flex)</t>
  </si>
  <si>
    <t>Mueble (archivadores)</t>
  </si>
  <si>
    <t>Mueble (rollos cartulina)</t>
  </si>
  <si>
    <t>Mueble (carpetas acordeón)</t>
  </si>
  <si>
    <t>Mueble (almacenamiento horizontal)</t>
  </si>
  <si>
    <t>Equipos</t>
  </si>
  <si>
    <t>Computadoras de escritorio</t>
  </si>
  <si>
    <t>Copiadora grande</t>
  </si>
  <si>
    <t xml:space="preserve">Impresora </t>
  </si>
  <si>
    <t>Valor Unitario ($)</t>
  </si>
  <si>
    <t>Valor total por Categoría ($)</t>
  </si>
  <si>
    <t>Gastos Administrativos</t>
  </si>
  <si>
    <t xml:space="preserve">Contador </t>
  </si>
  <si>
    <t>Sra. Gabriela</t>
  </si>
  <si>
    <t>Mano de obra (x3)</t>
  </si>
  <si>
    <t xml:space="preserve">Costos Variables </t>
  </si>
  <si>
    <t xml:space="preserve">Mano de obra </t>
  </si>
  <si>
    <t xml:space="preserve">Servicio Básicos </t>
  </si>
  <si>
    <t>Costos de transporte en mercancía</t>
  </si>
  <si>
    <t xml:space="preserve">Nro. </t>
  </si>
  <si>
    <t xml:space="preserve">DESCRIPCIÓN </t>
  </si>
  <si>
    <t>Es una empresa ecuatoriana ubicada en la cuidad de Quito, su actividad principal en el mundo escolar se involucra con la fabricación de artículos de papel o carto con pasta moldeada, contando con el principal distribuidor de las marcas como: Norma, Kiut, Jean Book, Repropal, etc.</t>
  </si>
  <si>
    <t>Distribuidora encargada de marcas importantes, como por ejemplo Steadtler en Ecuador con artículos escolares y suministros para papelería.</t>
  </si>
  <si>
    <t>Encargada de la distribución de artículos tecnológicos, con sede en Quito artículos de alta gama para consumo propio o como parte de centro en distribución tecnológico</t>
  </si>
  <si>
    <t>Micro empresa de productos de limpieza, se encuetra en Ibarra y ofrece sus productos para consumo de hogar o tambíen como centro distribuidor en este tipo de mercadería.</t>
  </si>
  <si>
    <t>Empresa encargada de la distribución de papelería con útiles escolares dentro del País, con presencia desde hace varias décadas en el mercado, principalmente con cede en Guayaquil y Quito</t>
  </si>
  <si>
    <t>Importadora de papel de marcas importantes que ofertan sus productos a través de de artículos de papelería imprimible y productos de oficina que se encuetran relacionados con papel.</t>
  </si>
  <si>
    <t>Ofrece productos  en actividad de oficina como carpetas,folders, cajas plásticas, divisores y otros insumos plásticos para papelería y oficina.</t>
  </si>
  <si>
    <t>Importadora local, con registros importantes en recursos didácticos como: rompecabezas, manualidades, maquetas entre otros.</t>
  </si>
  <si>
    <t>Empresa dedicada a la importación y fabricación de productos plásticos para el mercado educativo.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</si>
</sst>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44" formatCode="_ &quot;$&quot;* #,##0.00_ ;_ &quot;$&quot;* \-#,##0.00_ ;_ &quot;$&quot;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8" fontId="3" fillId="0" borderId="0" xfId="0" applyNumberFormat="1" applyFont="1"/>
    <xf numFmtId="0" fontId="3" fillId="0" borderId="0" xfId="0" applyFont="1" applyAlignment="1">
      <alignment horizontal="center" wrapText="1"/>
    </xf>
    <xf numFmtId="8" fontId="3" fillId="0" borderId="0" xfId="0" applyNumberFormat="1" applyFont="1" applyAlignment="1">
      <alignment horizontal="right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wrapText="1"/>
    </xf>
    <xf numFmtId="44" fontId="3" fillId="0" borderId="0" xfId="1" applyFont="1"/>
    <xf numFmtId="44" fontId="3" fillId="0" borderId="0" xfId="1" applyFont="1" applyFill="1" applyBorder="1"/>
    <xf numFmtId="44" fontId="3" fillId="0" borderId="0" xfId="0" applyNumberFormat="1" applyFont="1"/>
    <xf numFmtId="44" fontId="3" fillId="0" borderId="0" xfId="1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FA8A-AC14-42FE-969C-147B2E0DA376}">
  <dimension ref="A1:G79"/>
  <sheetViews>
    <sheetView tabSelected="1" workbookViewId="0">
      <selection sqref="A1:G1"/>
    </sheetView>
  </sheetViews>
  <sheetFormatPr baseColWidth="10" defaultRowHeight="15" x14ac:dyDescent="0.25"/>
  <cols>
    <col min="1" max="1" width="14.28515625" customWidth="1"/>
    <col min="2" max="2" width="29.5703125" customWidth="1"/>
    <col min="3" max="3" width="16.140625" customWidth="1"/>
    <col min="4" max="4" width="14" customWidth="1"/>
    <col min="6" max="6" width="17.7109375" customWidth="1"/>
  </cols>
  <sheetData>
    <row r="1" spans="1:7" ht="27.75" customHeight="1" x14ac:dyDescent="0.25">
      <c r="A1" s="1" t="s">
        <v>0</v>
      </c>
      <c r="B1" s="1" t="s">
        <v>1</v>
      </c>
      <c r="C1" s="1" t="s">
        <v>2</v>
      </c>
      <c r="D1" s="2" t="s">
        <v>49</v>
      </c>
      <c r="E1" s="1" t="s">
        <v>3</v>
      </c>
      <c r="F1" s="2" t="s">
        <v>4</v>
      </c>
      <c r="G1" s="1" t="s">
        <v>5</v>
      </c>
    </row>
    <row r="2" spans="1:7" ht="33" x14ac:dyDescent="0.25">
      <c r="A2" s="3" t="s">
        <v>57</v>
      </c>
      <c r="B2" s="3" t="s">
        <v>6</v>
      </c>
      <c r="C2" s="6" t="s">
        <v>48</v>
      </c>
      <c r="D2" s="3" t="s">
        <v>50</v>
      </c>
      <c r="E2" s="3">
        <v>60</v>
      </c>
      <c r="F2" s="4">
        <v>5.5</v>
      </c>
      <c r="G2" s="5">
        <v>330</v>
      </c>
    </row>
    <row r="3" spans="1:7" ht="16.5" x14ac:dyDescent="0.25">
      <c r="A3" s="3" t="s">
        <v>58</v>
      </c>
      <c r="B3" s="3" t="s">
        <v>7</v>
      </c>
      <c r="C3" s="6" t="s">
        <v>48</v>
      </c>
      <c r="D3" s="3" t="s">
        <v>51</v>
      </c>
      <c r="E3" s="3">
        <v>120</v>
      </c>
      <c r="F3" s="4">
        <v>0.9</v>
      </c>
      <c r="G3" s="5">
        <v>108</v>
      </c>
    </row>
    <row r="4" spans="1:7" ht="16.5" x14ac:dyDescent="0.25">
      <c r="A4" s="3" t="s">
        <v>59</v>
      </c>
      <c r="B4" s="3" t="s">
        <v>8</v>
      </c>
      <c r="C4" s="6" t="s">
        <v>48</v>
      </c>
      <c r="D4" s="3" t="s">
        <v>51</v>
      </c>
      <c r="E4" s="3">
        <v>25</v>
      </c>
      <c r="F4" s="4">
        <v>4</v>
      </c>
      <c r="G4" s="5">
        <v>100</v>
      </c>
    </row>
    <row r="5" spans="1:7" ht="33" x14ac:dyDescent="0.25">
      <c r="A5" s="3" t="s">
        <v>60</v>
      </c>
      <c r="B5" s="3" t="s">
        <v>9</v>
      </c>
      <c r="C5" s="6" t="s">
        <v>48</v>
      </c>
      <c r="D5" s="3" t="s">
        <v>51</v>
      </c>
      <c r="E5" s="3">
        <v>150</v>
      </c>
      <c r="F5" s="4">
        <v>0.6</v>
      </c>
      <c r="G5" s="5">
        <v>90</v>
      </c>
    </row>
    <row r="6" spans="1:7" ht="33" x14ac:dyDescent="0.25">
      <c r="A6" s="3" t="s">
        <v>61</v>
      </c>
      <c r="B6" s="3" t="s">
        <v>10</v>
      </c>
      <c r="C6" s="6" t="s">
        <v>48</v>
      </c>
      <c r="D6" s="3" t="s">
        <v>52</v>
      </c>
      <c r="E6" s="3">
        <v>90</v>
      </c>
      <c r="F6" s="4">
        <v>1.2</v>
      </c>
      <c r="G6" s="5">
        <v>108</v>
      </c>
    </row>
    <row r="7" spans="1:7" ht="33" x14ac:dyDescent="0.25">
      <c r="A7" s="3" t="s">
        <v>62</v>
      </c>
      <c r="B7" s="3" t="s">
        <v>11</v>
      </c>
      <c r="C7" s="6" t="s">
        <v>48</v>
      </c>
      <c r="D7" s="3" t="s">
        <v>51</v>
      </c>
      <c r="E7" s="3">
        <v>20</v>
      </c>
      <c r="F7" s="4">
        <v>6.5</v>
      </c>
      <c r="G7" s="5">
        <v>130</v>
      </c>
    </row>
    <row r="8" spans="1:7" ht="16.5" x14ac:dyDescent="0.25">
      <c r="A8" s="3" t="s">
        <v>63</v>
      </c>
      <c r="B8" s="3" t="s">
        <v>12</v>
      </c>
      <c r="C8" s="6" t="s">
        <v>48</v>
      </c>
      <c r="D8" s="3" t="s">
        <v>53</v>
      </c>
      <c r="E8" s="3">
        <v>75</v>
      </c>
      <c r="F8" s="4">
        <v>1.8</v>
      </c>
      <c r="G8" s="5">
        <v>135</v>
      </c>
    </row>
    <row r="9" spans="1:7" ht="33" x14ac:dyDescent="0.25">
      <c r="A9" s="3" t="s">
        <v>64</v>
      </c>
      <c r="B9" s="3" t="s">
        <v>13</v>
      </c>
      <c r="C9" s="6" t="s">
        <v>48</v>
      </c>
      <c r="D9" s="3" t="s">
        <v>51</v>
      </c>
      <c r="E9" s="3">
        <v>40</v>
      </c>
      <c r="F9" s="4">
        <v>3.5</v>
      </c>
      <c r="G9" s="5">
        <v>140</v>
      </c>
    </row>
    <row r="10" spans="1:7" ht="16.5" x14ac:dyDescent="0.25">
      <c r="A10" s="3" t="s">
        <v>65</v>
      </c>
      <c r="B10" s="3" t="s">
        <v>14</v>
      </c>
      <c r="C10" s="6" t="s">
        <v>48</v>
      </c>
      <c r="D10" s="3" t="s">
        <v>50</v>
      </c>
      <c r="E10" s="3">
        <v>35</v>
      </c>
      <c r="F10" s="4">
        <v>6</v>
      </c>
      <c r="G10" s="5">
        <v>210</v>
      </c>
    </row>
    <row r="11" spans="1:7" ht="33" x14ac:dyDescent="0.25">
      <c r="A11" s="3" t="s">
        <v>66</v>
      </c>
      <c r="B11" s="3" t="s">
        <v>15</v>
      </c>
      <c r="C11" s="6" t="s">
        <v>48</v>
      </c>
      <c r="D11" s="3" t="s">
        <v>51</v>
      </c>
      <c r="E11" s="3">
        <v>10</v>
      </c>
      <c r="F11" s="4">
        <v>8</v>
      </c>
      <c r="G11" s="5">
        <v>80</v>
      </c>
    </row>
    <row r="12" spans="1:7" ht="33" x14ac:dyDescent="0.25">
      <c r="A12" s="3" t="s">
        <v>67</v>
      </c>
      <c r="B12" s="3" t="s">
        <v>46</v>
      </c>
      <c r="C12" s="6" t="s">
        <v>48</v>
      </c>
      <c r="D12" s="3" t="s">
        <v>50</v>
      </c>
      <c r="E12" s="3">
        <v>35</v>
      </c>
      <c r="F12" s="4">
        <v>0.1</v>
      </c>
      <c r="G12" s="5">
        <v>3.5</v>
      </c>
    </row>
    <row r="13" spans="1:7" ht="33" x14ac:dyDescent="0.25">
      <c r="A13" s="3" t="s">
        <v>68</v>
      </c>
      <c r="B13" s="3" t="s">
        <v>47</v>
      </c>
      <c r="C13" s="6" t="s">
        <v>48</v>
      </c>
      <c r="D13" s="6" t="s">
        <v>51</v>
      </c>
      <c r="E13" s="3">
        <v>71</v>
      </c>
      <c r="F13" s="4">
        <v>3</v>
      </c>
      <c r="G13" s="5">
        <v>213</v>
      </c>
    </row>
    <row r="14" spans="1:7" ht="33" x14ac:dyDescent="0.25">
      <c r="A14" s="3" t="s">
        <v>69</v>
      </c>
      <c r="B14" s="3" t="s">
        <v>16</v>
      </c>
      <c r="C14" s="3" t="s">
        <v>56</v>
      </c>
      <c r="D14" s="3" t="s">
        <v>51</v>
      </c>
      <c r="E14" s="3">
        <v>250</v>
      </c>
      <c r="F14" s="4">
        <v>1.2</v>
      </c>
      <c r="G14" s="5">
        <v>300</v>
      </c>
    </row>
    <row r="15" spans="1:7" ht="33" x14ac:dyDescent="0.25">
      <c r="A15" s="3" t="s">
        <v>70</v>
      </c>
      <c r="B15" s="3" t="s">
        <v>17</v>
      </c>
      <c r="C15" s="3" t="s">
        <v>56</v>
      </c>
      <c r="D15" s="3" t="s">
        <v>51</v>
      </c>
      <c r="E15" s="3">
        <v>230</v>
      </c>
      <c r="F15" s="4">
        <v>1.2</v>
      </c>
      <c r="G15" s="5">
        <v>276</v>
      </c>
    </row>
    <row r="16" spans="1:7" ht="16.5" x14ac:dyDescent="0.25">
      <c r="A16" s="3" t="s">
        <v>71</v>
      </c>
      <c r="B16" s="3" t="s">
        <v>18</v>
      </c>
      <c r="C16" s="3" t="s">
        <v>56</v>
      </c>
      <c r="D16" s="3" t="s">
        <v>51</v>
      </c>
      <c r="E16" s="3">
        <v>300</v>
      </c>
      <c r="F16" s="4">
        <v>0.25</v>
      </c>
      <c r="G16" s="5">
        <v>75</v>
      </c>
    </row>
    <row r="17" spans="1:7" ht="16.5" x14ac:dyDescent="0.25">
      <c r="A17" s="3" t="s">
        <v>72</v>
      </c>
      <c r="B17" s="3" t="s">
        <v>19</v>
      </c>
      <c r="C17" s="3" t="s">
        <v>56</v>
      </c>
      <c r="D17" s="3" t="s">
        <v>51</v>
      </c>
      <c r="E17" s="3">
        <v>400</v>
      </c>
      <c r="F17" s="4">
        <v>0.35</v>
      </c>
      <c r="G17" s="5">
        <v>140</v>
      </c>
    </row>
    <row r="18" spans="1:7" ht="16.5" x14ac:dyDescent="0.25">
      <c r="A18" s="3" t="s">
        <v>73</v>
      </c>
      <c r="B18" s="3" t="s">
        <v>20</v>
      </c>
      <c r="C18" s="3" t="s">
        <v>56</v>
      </c>
      <c r="D18" s="3" t="s">
        <v>51</v>
      </c>
      <c r="E18" s="3">
        <v>380</v>
      </c>
      <c r="F18" s="4">
        <v>0.35</v>
      </c>
      <c r="G18" s="5">
        <v>133</v>
      </c>
    </row>
    <row r="19" spans="1:7" ht="16.5" x14ac:dyDescent="0.25">
      <c r="A19" s="3" t="s">
        <v>74</v>
      </c>
      <c r="B19" s="3" t="s">
        <v>21</v>
      </c>
      <c r="C19" s="3" t="s">
        <v>56</v>
      </c>
      <c r="D19" s="3" t="s">
        <v>51</v>
      </c>
      <c r="E19" s="3">
        <v>150</v>
      </c>
      <c r="F19" s="4">
        <v>0.4</v>
      </c>
      <c r="G19" s="5">
        <v>60</v>
      </c>
    </row>
    <row r="20" spans="1:7" ht="16.5" x14ac:dyDescent="0.25">
      <c r="A20" s="3" t="s">
        <v>75</v>
      </c>
      <c r="B20" s="3" t="s">
        <v>22</v>
      </c>
      <c r="C20" s="3" t="s">
        <v>56</v>
      </c>
      <c r="D20" s="3" t="s">
        <v>51</v>
      </c>
      <c r="E20" s="3">
        <v>100</v>
      </c>
      <c r="F20" s="4">
        <v>0.5</v>
      </c>
      <c r="G20" s="5">
        <v>50</v>
      </c>
    </row>
    <row r="21" spans="1:7" ht="33" x14ac:dyDescent="0.25">
      <c r="A21" s="3" t="s">
        <v>76</v>
      </c>
      <c r="B21" s="3" t="s">
        <v>23</v>
      </c>
      <c r="C21" s="3" t="s">
        <v>56</v>
      </c>
      <c r="D21" s="3" t="s">
        <v>55</v>
      </c>
      <c r="E21" s="3">
        <v>60</v>
      </c>
      <c r="F21" s="4">
        <v>1.5</v>
      </c>
      <c r="G21" s="5">
        <v>90</v>
      </c>
    </row>
    <row r="22" spans="1:7" ht="16.5" x14ac:dyDescent="0.25">
      <c r="A22" s="3" t="s">
        <v>77</v>
      </c>
      <c r="B22" s="3" t="s">
        <v>24</v>
      </c>
      <c r="C22" s="3" t="s">
        <v>56</v>
      </c>
      <c r="D22" s="3" t="s">
        <v>52</v>
      </c>
      <c r="E22" s="3">
        <v>90</v>
      </c>
      <c r="F22" s="4">
        <v>2</v>
      </c>
      <c r="G22" s="5">
        <v>180</v>
      </c>
    </row>
    <row r="23" spans="1:7" ht="33" x14ac:dyDescent="0.25">
      <c r="A23" s="3" t="s">
        <v>78</v>
      </c>
      <c r="B23" s="3" t="s">
        <v>25</v>
      </c>
      <c r="C23" s="3" t="s">
        <v>56</v>
      </c>
      <c r="D23" s="3" t="s">
        <v>52</v>
      </c>
      <c r="E23" s="3">
        <v>75</v>
      </c>
      <c r="F23" s="4">
        <v>3</v>
      </c>
      <c r="G23" s="5">
        <v>225</v>
      </c>
    </row>
    <row r="24" spans="1:7" ht="33" x14ac:dyDescent="0.25">
      <c r="A24" s="3" t="s">
        <v>79</v>
      </c>
      <c r="B24" s="3" t="s">
        <v>54</v>
      </c>
      <c r="C24" s="6" t="s">
        <v>56</v>
      </c>
      <c r="D24" s="6" t="s">
        <v>51</v>
      </c>
      <c r="E24" s="3">
        <v>173</v>
      </c>
      <c r="F24" s="4">
        <v>4.5</v>
      </c>
      <c r="G24" s="5">
        <f>E24*F24</f>
        <v>778.5</v>
      </c>
    </row>
    <row r="25" spans="1:7" ht="33" x14ac:dyDescent="0.25">
      <c r="A25" s="3" t="s">
        <v>96</v>
      </c>
      <c r="B25" s="3" t="s">
        <v>80</v>
      </c>
      <c r="C25" s="3" t="s">
        <v>87</v>
      </c>
      <c r="D25" s="3" t="s">
        <v>51</v>
      </c>
      <c r="E25" s="3">
        <v>35</v>
      </c>
      <c r="F25" s="4">
        <v>7</v>
      </c>
      <c r="G25" s="5">
        <v>245</v>
      </c>
    </row>
    <row r="26" spans="1:7" ht="16.5" x14ac:dyDescent="0.25">
      <c r="A26" s="3" t="s">
        <v>97</v>
      </c>
      <c r="B26" s="3" t="s">
        <v>81</v>
      </c>
      <c r="C26" s="3" t="s">
        <v>87</v>
      </c>
      <c r="D26" s="3" t="s">
        <v>51</v>
      </c>
      <c r="E26" s="3">
        <v>35</v>
      </c>
      <c r="F26" s="4">
        <v>7</v>
      </c>
      <c r="G26" s="5">
        <v>245</v>
      </c>
    </row>
    <row r="27" spans="1:7" ht="16.5" x14ac:dyDescent="0.25">
      <c r="A27" s="3" t="s">
        <v>98</v>
      </c>
      <c r="B27" s="3" t="s">
        <v>26</v>
      </c>
      <c r="C27" s="3" t="s">
        <v>87</v>
      </c>
      <c r="D27" s="3" t="s">
        <v>51</v>
      </c>
      <c r="E27" s="3">
        <v>25</v>
      </c>
      <c r="F27" s="4">
        <v>9</v>
      </c>
      <c r="G27" s="5">
        <v>225</v>
      </c>
    </row>
    <row r="28" spans="1:7" ht="33" x14ac:dyDescent="0.25">
      <c r="A28" s="3" t="s">
        <v>99</v>
      </c>
      <c r="B28" s="3" t="s">
        <v>82</v>
      </c>
      <c r="C28" s="3" t="s">
        <v>87</v>
      </c>
      <c r="D28" s="3" t="s">
        <v>51</v>
      </c>
      <c r="E28" s="3">
        <v>25</v>
      </c>
      <c r="F28" s="4">
        <v>5</v>
      </c>
      <c r="G28" s="5">
        <f t="shared" ref="G28:G33" si="0">E28*F28</f>
        <v>125</v>
      </c>
    </row>
    <row r="29" spans="1:7" ht="16.5" x14ac:dyDescent="0.25">
      <c r="A29" s="3" t="s">
        <v>100</v>
      </c>
      <c r="B29" s="3" t="s">
        <v>27</v>
      </c>
      <c r="C29" s="3" t="s">
        <v>87</v>
      </c>
      <c r="D29" s="3" t="s">
        <v>51</v>
      </c>
      <c r="E29" s="3">
        <v>15</v>
      </c>
      <c r="F29" s="4">
        <v>9.5</v>
      </c>
      <c r="G29" s="5">
        <f t="shared" si="0"/>
        <v>142.5</v>
      </c>
    </row>
    <row r="30" spans="1:7" ht="33" x14ac:dyDescent="0.25">
      <c r="A30" s="3" t="s">
        <v>101</v>
      </c>
      <c r="B30" s="3" t="s">
        <v>83</v>
      </c>
      <c r="C30" s="3" t="s">
        <v>87</v>
      </c>
      <c r="D30" s="3" t="s">
        <v>51</v>
      </c>
      <c r="E30" s="3">
        <v>25</v>
      </c>
      <c r="F30" s="4">
        <v>3.5</v>
      </c>
      <c r="G30" s="5">
        <f t="shared" si="0"/>
        <v>87.5</v>
      </c>
    </row>
    <row r="31" spans="1:7" ht="33" x14ac:dyDescent="0.25">
      <c r="A31" s="3" t="s">
        <v>102</v>
      </c>
      <c r="B31" s="3" t="s">
        <v>84</v>
      </c>
      <c r="C31" s="3" t="s">
        <v>87</v>
      </c>
      <c r="D31" s="3" t="s">
        <v>51</v>
      </c>
      <c r="E31" s="3">
        <v>10</v>
      </c>
      <c r="F31" s="4">
        <v>3.5</v>
      </c>
      <c r="G31" s="5">
        <f t="shared" si="0"/>
        <v>35</v>
      </c>
    </row>
    <row r="32" spans="1:7" ht="16.5" x14ac:dyDescent="0.25">
      <c r="A32" s="3" t="s">
        <v>103</v>
      </c>
      <c r="B32" s="3" t="s">
        <v>85</v>
      </c>
      <c r="C32" s="3" t="s">
        <v>87</v>
      </c>
      <c r="D32" s="3" t="s">
        <v>51</v>
      </c>
      <c r="E32" s="3">
        <v>30</v>
      </c>
      <c r="F32" s="4">
        <v>4</v>
      </c>
      <c r="G32" s="5">
        <f t="shared" si="0"/>
        <v>120</v>
      </c>
    </row>
    <row r="33" spans="1:7" ht="33" x14ac:dyDescent="0.25">
      <c r="A33" s="3" t="s">
        <v>104</v>
      </c>
      <c r="B33" s="3" t="s">
        <v>86</v>
      </c>
      <c r="C33" s="3" t="s">
        <v>87</v>
      </c>
      <c r="D33" s="3" t="s">
        <v>51</v>
      </c>
      <c r="E33" s="3">
        <v>30</v>
      </c>
      <c r="F33" s="4">
        <f>6.5</f>
        <v>6.5</v>
      </c>
      <c r="G33" s="5">
        <f t="shared" si="0"/>
        <v>195</v>
      </c>
    </row>
    <row r="34" spans="1:7" ht="33" x14ac:dyDescent="0.25">
      <c r="A34" s="3" t="s">
        <v>105</v>
      </c>
      <c r="B34" s="3" t="s">
        <v>88</v>
      </c>
      <c r="C34" s="3" t="s">
        <v>95</v>
      </c>
      <c r="D34" s="3" t="s">
        <v>51</v>
      </c>
      <c r="E34" s="3">
        <v>4</v>
      </c>
      <c r="F34" s="4">
        <v>10</v>
      </c>
      <c r="G34" s="5">
        <v>200</v>
      </c>
    </row>
    <row r="35" spans="1:7" ht="33" x14ac:dyDescent="0.25">
      <c r="A35" s="3" t="s">
        <v>106</v>
      </c>
      <c r="B35" s="3" t="s">
        <v>89</v>
      </c>
      <c r="C35" s="3" t="s">
        <v>95</v>
      </c>
      <c r="D35" s="3" t="s">
        <v>51</v>
      </c>
      <c r="E35" s="3">
        <v>10</v>
      </c>
      <c r="F35" s="4">
        <v>5</v>
      </c>
      <c r="G35" s="5">
        <v>250</v>
      </c>
    </row>
    <row r="36" spans="1:7" ht="33" x14ac:dyDescent="0.25">
      <c r="A36" s="3" t="s">
        <v>107</v>
      </c>
      <c r="B36" s="3" t="s">
        <v>90</v>
      </c>
      <c r="C36" s="3" t="s">
        <v>95</v>
      </c>
      <c r="D36" s="3" t="s">
        <v>51</v>
      </c>
      <c r="E36" s="3">
        <v>21</v>
      </c>
      <c r="F36" s="4">
        <v>12</v>
      </c>
      <c r="G36" s="5">
        <v>480</v>
      </c>
    </row>
    <row r="37" spans="1:7" ht="33" x14ac:dyDescent="0.25">
      <c r="A37" s="3" t="s">
        <v>108</v>
      </c>
      <c r="B37" s="3" t="s">
        <v>91</v>
      </c>
      <c r="C37" s="3" t="s">
        <v>95</v>
      </c>
      <c r="D37" s="3" t="s">
        <v>51</v>
      </c>
      <c r="E37" s="3">
        <v>18</v>
      </c>
      <c r="F37" s="4">
        <v>8</v>
      </c>
      <c r="G37" s="5">
        <v>360</v>
      </c>
    </row>
    <row r="38" spans="1:7" ht="16.5" x14ac:dyDescent="0.25">
      <c r="A38" s="3" t="s">
        <v>109</v>
      </c>
      <c r="B38" s="3" t="s">
        <v>28</v>
      </c>
      <c r="C38" s="3" t="s">
        <v>95</v>
      </c>
      <c r="D38" s="3" t="s">
        <v>51</v>
      </c>
      <c r="E38" s="3">
        <v>15</v>
      </c>
      <c r="F38" s="4">
        <v>8</v>
      </c>
      <c r="G38" s="5">
        <v>360</v>
      </c>
    </row>
    <row r="39" spans="1:7" ht="33" x14ac:dyDescent="0.25">
      <c r="A39" s="3" t="s">
        <v>110</v>
      </c>
      <c r="B39" s="3" t="s">
        <v>92</v>
      </c>
      <c r="C39" s="3" t="s">
        <v>95</v>
      </c>
      <c r="D39" s="3" t="s">
        <v>51</v>
      </c>
      <c r="E39" s="3">
        <v>3</v>
      </c>
      <c r="F39" s="4">
        <v>7</v>
      </c>
      <c r="G39" s="5">
        <v>245</v>
      </c>
    </row>
    <row r="40" spans="1:7" ht="49.5" x14ac:dyDescent="0.25">
      <c r="A40" s="3" t="s">
        <v>111</v>
      </c>
      <c r="B40" s="3" t="s">
        <v>93</v>
      </c>
      <c r="C40" s="3" t="s">
        <v>95</v>
      </c>
      <c r="D40" s="3" t="s">
        <v>51</v>
      </c>
      <c r="E40" s="3">
        <v>20</v>
      </c>
      <c r="F40" s="4">
        <v>8</v>
      </c>
      <c r="G40" s="5">
        <v>400</v>
      </c>
    </row>
    <row r="41" spans="1:7" ht="33" x14ac:dyDescent="0.25">
      <c r="A41" s="3" t="s">
        <v>112</v>
      </c>
      <c r="B41" s="3" t="s">
        <v>94</v>
      </c>
      <c r="C41" s="6" t="s">
        <v>95</v>
      </c>
      <c r="D41" s="6" t="s">
        <v>51</v>
      </c>
      <c r="E41" s="3">
        <v>3</v>
      </c>
      <c r="F41" s="4">
        <v>21</v>
      </c>
      <c r="G41" s="5">
        <v>63</v>
      </c>
    </row>
    <row r="42" spans="1:7" ht="33" x14ac:dyDescent="0.25">
      <c r="A42" s="3" t="s">
        <v>116</v>
      </c>
      <c r="B42" s="3" t="s">
        <v>113</v>
      </c>
      <c r="C42" s="6" t="s">
        <v>115</v>
      </c>
      <c r="D42" s="6" t="s">
        <v>114</v>
      </c>
      <c r="E42" s="3">
        <v>15</v>
      </c>
      <c r="F42" s="4">
        <f>2.5</f>
        <v>2.5</v>
      </c>
      <c r="G42" s="5">
        <f>E42*F42</f>
        <v>37.5</v>
      </c>
    </row>
    <row r="43" spans="1:7" ht="33" x14ac:dyDescent="0.25">
      <c r="A43" s="3" t="s">
        <v>117</v>
      </c>
      <c r="B43" s="3" t="s">
        <v>29</v>
      </c>
      <c r="C43" s="3" t="s">
        <v>115</v>
      </c>
      <c r="D43" s="3" t="s">
        <v>53</v>
      </c>
      <c r="E43" s="3">
        <v>40</v>
      </c>
      <c r="F43" s="4">
        <v>2.5</v>
      </c>
      <c r="G43" s="5">
        <v>100</v>
      </c>
    </row>
    <row r="44" spans="1:7" ht="33" x14ac:dyDescent="0.25">
      <c r="A44" s="3" t="s">
        <v>118</v>
      </c>
      <c r="B44" s="3" t="s">
        <v>30</v>
      </c>
      <c r="C44" s="3" t="s">
        <v>115</v>
      </c>
      <c r="D44" s="3" t="s">
        <v>119</v>
      </c>
      <c r="E44" s="3">
        <v>30</v>
      </c>
      <c r="F44" s="4">
        <v>3</v>
      </c>
      <c r="G44" s="5">
        <v>90</v>
      </c>
    </row>
    <row r="45" spans="1:7" ht="33" x14ac:dyDescent="0.25">
      <c r="A45" s="3" t="s">
        <v>121</v>
      </c>
      <c r="B45" s="3" t="s">
        <v>120</v>
      </c>
      <c r="C45" s="3" t="s">
        <v>115</v>
      </c>
      <c r="D45" s="3" t="s">
        <v>51</v>
      </c>
      <c r="E45" s="3">
        <v>60</v>
      </c>
      <c r="F45" s="4">
        <v>2</v>
      </c>
      <c r="G45" s="5">
        <v>120</v>
      </c>
    </row>
    <row r="46" spans="1:7" ht="33" x14ac:dyDescent="0.25">
      <c r="A46" s="3" t="s">
        <v>122</v>
      </c>
      <c r="B46" s="3" t="s">
        <v>31</v>
      </c>
      <c r="C46" s="3" t="s">
        <v>115</v>
      </c>
      <c r="D46" s="3" t="s">
        <v>114</v>
      </c>
      <c r="E46" s="3">
        <v>116</v>
      </c>
      <c r="F46" s="4">
        <v>1.5</v>
      </c>
      <c r="G46" s="5">
        <f>F46*E46</f>
        <v>174</v>
      </c>
    </row>
    <row r="47" spans="1:7" ht="49.5" x14ac:dyDescent="0.25">
      <c r="A47" s="3" t="s">
        <v>124</v>
      </c>
      <c r="B47" s="3" t="s">
        <v>123</v>
      </c>
      <c r="C47" s="3" t="s">
        <v>115</v>
      </c>
      <c r="D47" s="3" t="s">
        <v>119</v>
      </c>
      <c r="E47" s="3">
        <v>25</v>
      </c>
      <c r="F47" s="4">
        <v>2.8</v>
      </c>
      <c r="G47" s="5">
        <v>70</v>
      </c>
    </row>
    <row r="48" spans="1:7" ht="16.5" x14ac:dyDescent="0.25">
      <c r="A48" s="3" t="s">
        <v>125</v>
      </c>
      <c r="B48" s="3" t="s">
        <v>32</v>
      </c>
      <c r="C48" s="3" t="s">
        <v>115</v>
      </c>
      <c r="D48" s="3" t="s">
        <v>51</v>
      </c>
      <c r="E48" s="3">
        <v>20</v>
      </c>
      <c r="F48" s="4">
        <v>4</v>
      </c>
      <c r="G48" s="5">
        <v>80</v>
      </c>
    </row>
    <row r="49" spans="1:7" ht="16.5" x14ac:dyDescent="0.25">
      <c r="A49" s="3" t="s">
        <v>127</v>
      </c>
      <c r="B49" s="3" t="s">
        <v>33</v>
      </c>
      <c r="C49" s="3" t="s">
        <v>126</v>
      </c>
      <c r="D49" s="3" t="s">
        <v>55</v>
      </c>
      <c r="E49" s="3">
        <v>40</v>
      </c>
      <c r="F49" s="4">
        <v>3</v>
      </c>
      <c r="G49" s="5">
        <v>120</v>
      </c>
    </row>
    <row r="50" spans="1:7" ht="16.5" x14ac:dyDescent="0.25">
      <c r="A50" s="3" t="s">
        <v>128</v>
      </c>
      <c r="B50" s="3" t="s">
        <v>34</v>
      </c>
      <c r="C50" s="3" t="s">
        <v>126</v>
      </c>
      <c r="D50" s="3" t="s">
        <v>55</v>
      </c>
      <c r="E50" s="3">
        <v>35</v>
      </c>
      <c r="F50" s="4">
        <v>2.5</v>
      </c>
      <c r="G50" s="5">
        <v>87.5</v>
      </c>
    </row>
    <row r="51" spans="1:7" ht="33" x14ac:dyDescent="0.25">
      <c r="A51" s="3" t="s">
        <v>129</v>
      </c>
      <c r="B51" s="3" t="s">
        <v>35</v>
      </c>
      <c r="C51" s="3" t="s">
        <v>126</v>
      </c>
      <c r="D51" s="3" t="s">
        <v>53</v>
      </c>
      <c r="E51" s="3">
        <v>50</v>
      </c>
      <c r="F51" s="4">
        <v>4</v>
      </c>
      <c r="G51" s="5">
        <v>200</v>
      </c>
    </row>
    <row r="52" spans="1:7" ht="16.5" x14ac:dyDescent="0.25">
      <c r="A52" s="3" t="s">
        <v>130</v>
      </c>
      <c r="B52" s="3" t="s">
        <v>36</v>
      </c>
      <c r="C52" s="3" t="s">
        <v>126</v>
      </c>
      <c r="D52" s="3" t="s">
        <v>53</v>
      </c>
      <c r="E52" s="3">
        <v>70</v>
      </c>
      <c r="F52" s="4">
        <v>2</v>
      </c>
      <c r="G52" s="5">
        <v>140</v>
      </c>
    </row>
    <row r="53" spans="1:7" ht="16.5" x14ac:dyDescent="0.25">
      <c r="A53" s="3" t="s">
        <v>131</v>
      </c>
      <c r="B53" s="3" t="s">
        <v>37</v>
      </c>
      <c r="C53" s="3" t="s">
        <v>126</v>
      </c>
      <c r="D53" s="3" t="s">
        <v>51</v>
      </c>
      <c r="E53" s="3">
        <v>100</v>
      </c>
      <c r="F53" s="4">
        <v>1.5</v>
      </c>
      <c r="G53" s="5">
        <v>150</v>
      </c>
    </row>
    <row r="54" spans="1:7" ht="16.5" x14ac:dyDescent="0.25">
      <c r="A54" s="3" t="s">
        <v>133</v>
      </c>
      <c r="B54" s="3" t="s">
        <v>38</v>
      </c>
      <c r="C54" s="3" t="s">
        <v>126</v>
      </c>
      <c r="D54" s="3" t="s">
        <v>132</v>
      </c>
      <c r="E54" s="3">
        <v>60</v>
      </c>
      <c r="F54" s="4">
        <v>1</v>
      </c>
      <c r="G54" s="5">
        <v>60</v>
      </c>
    </row>
    <row r="55" spans="1:7" ht="33" x14ac:dyDescent="0.25">
      <c r="A55" s="3" t="s">
        <v>143</v>
      </c>
      <c r="B55" s="3" t="s">
        <v>134</v>
      </c>
      <c r="C55" s="3" t="s">
        <v>126</v>
      </c>
      <c r="D55" s="3" t="s">
        <v>51</v>
      </c>
      <c r="E55" s="3">
        <v>168</v>
      </c>
      <c r="F55" s="4">
        <v>0.75</v>
      </c>
      <c r="G55" s="5">
        <f>E55*F55</f>
        <v>126</v>
      </c>
    </row>
    <row r="56" spans="1:7" ht="33" x14ac:dyDescent="0.25">
      <c r="A56" s="3" t="s">
        <v>144</v>
      </c>
      <c r="B56" s="3" t="s">
        <v>135</v>
      </c>
      <c r="C56" s="3" t="s">
        <v>126</v>
      </c>
      <c r="D56" s="3" t="s">
        <v>53</v>
      </c>
      <c r="E56" s="3">
        <v>40</v>
      </c>
      <c r="F56" s="4">
        <f>2.5</f>
        <v>2.5</v>
      </c>
      <c r="G56" s="5">
        <f>E56*F56</f>
        <v>100</v>
      </c>
    </row>
    <row r="57" spans="1:7" ht="33" x14ac:dyDescent="0.25">
      <c r="A57" s="3" t="s">
        <v>145</v>
      </c>
      <c r="B57" s="3" t="s">
        <v>136</v>
      </c>
      <c r="C57" s="3" t="s">
        <v>126</v>
      </c>
      <c r="D57" s="6" t="s">
        <v>51</v>
      </c>
      <c r="E57" s="6">
        <v>100</v>
      </c>
      <c r="F57" s="4">
        <f>0.75</f>
        <v>0.75</v>
      </c>
      <c r="G57" s="5">
        <f>E57*F57</f>
        <v>75</v>
      </c>
    </row>
    <row r="58" spans="1:7" ht="33" x14ac:dyDescent="0.25">
      <c r="A58" s="3" t="s">
        <v>146</v>
      </c>
      <c r="B58" s="3" t="s">
        <v>137</v>
      </c>
      <c r="C58" s="3" t="s">
        <v>126</v>
      </c>
      <c r="D58" s="6" t="s">
        <v>53</v>
      </c>
      <c r="E58" s="6">
        <v>16</v>
      </c>
      <c r="F58" s="4">
        <f>2</f>
        <v>2</v>
      </c>
      <c r="G58" s="5">
        <f>E58*F58</f>
        <v>32</v>
      </c>
    </row>
    <row r="59" spans="1:7" ht="33" x14ac:dyDescent="0.25">
      <c r="A59" s="3" t="s">
        <v>147</v>
      </c>
      <c r="B59" s="3" t="s">
        <v>138</v>
      </c>
      <c r="C59" s="3" t="s">
        <v>126</v>
      </c>
      <c r="D59" s="6" t="s">
        <v>53</v>
      </c>
      <c r="E59" s="6">
        <v>16</v>
      </c>
      <c r="F59" s="4">
        <f>2</f>
        <v>2</v>
      </c>
      <c r="G59" s="5">
        <f t="shared" ref="G59:G63" si="1">E59*F59</f>
        <v>32</v>
      </c>
    </row>
    <row r="60" spans="1:7" ht="33" x14ac:dyDescent="0.25">
      <c r="A60" s="3" t="s">
        <v>148</v>
      </c>
      <c r="B60" s="3" t="s">
        <v>139</v>
      </c>
      <c r="C60" s="3" t="s">
        <v>126</v>
      </c>
      <c r="D60" s="6" t="s">
        <v>53</v>
      </c>
      <c r="E60" s="6">
        <v>12</v>
      </c>
      <c r="F60" s="4">
        <f>2</f>
        <v>2</v>
      </c>
      <c r="G60" s="5">
        <f t="shared" si="1"/>
        <v>24</v>
      </c>
    </row>
    <row r="61" spans="1:7" ht="33" x14ac:dyDescent="0.25">
      <c r="A61" s="3" t="s">
        <v>149</v>
      </c>
      <c r="B61" s="3" t="s">
        <v>140</v>
      </c>
      <c r="C61" s="3" t="s">
        <v>126</v>
      </c>
      <c r="D61" s="6" t="s">
        <v>53</v>
      </c>
      <c r="E61" s="6">
        <v>11</v>
      </c>
      <c r="F61" s="4">
        <f>2</f>
        <v>2</v>
      </c>
      <c r="G61" s="5">
        <f t="shared" si="1"/>
        <v>22</v>
      </c>
    </row>
    <row r="62" spans="1:7" ht="33" x14ac:dyDescent="0.25">
      <c r="A62" s="3" t="s">
        <v>150</v>
      </c>
      <c r="B62" s="3" t="s">
        <v>141</v>
      </c>
      <c r="C62" s="3" t="s">
        <v>126</v>
      </c>
      <c r="D62" s="6" t="s">
        <v>51</v>
      </c>
      <c r="E62" s="6">
        <v>11</v>
      </c>
      <c r="F62" s="4">
        <f>5</f>
        <v>5</v>
      </c>
      <c r="G62" s="5">
        <f t="shared" si="1"/>
        <v>55</v>
      </c>
    </row>
    <row r="63" spans="1:7" ht="33" x14ac:dyDescent="0.25">
      <c r="A63" s="3" t="s">
        <v>151</v>
      </c>
      <c r="B63" s="3" t="s">
        <v>142</v>
      </c>
      <c r="C63" s="3" t="s">
        <v>126</v>
      </c>
      <c r="D63" s="6" t="s">
        <v>53</v>
      </c>
      <c r="E63" s="6">
        <v>12</v>
      </c>
      <c r="F63" s="4">
        <f>2.5</f>
        <v>2.5</v>
      </c>
      <c r="G63" s="5">
        <f t="shared" si="1"/>
        <v>30</v>
      </c>
    </row>
    <row r="64" spans="1:7" ht="33" x14ac:dyDescent="0.25">
      <c r="A64" s="3" t="s">
        <v>152</v>
      </c>
      <c r="B64" s="3" t="s">
        <v>39</v>
      </c>
      <c r="C64" s="3" t="s">
        <v>153</v>
      </c>
      <c r="D64" s="6" t="s">
        <v>51</v>
      </c>
      <c r="E64" s="3">
        <v>20</v>
      </c>
      <c r="F64" s="4">
        <v>15</v>
      </c>
      <c r="G64" s="5">
        <v>300</v>
      </c>
    </row>
    <row r="65" spans="1:7" ht="33" x14ac:dyDescent="0.25">
      <c r="A65" s="3" t="s">
        <v>159</v>
      </c>
      <c r="B65" s="3" t="s">
        <v>40</v>
      </c>
      <c r="C65" s="3" t="s">
        <v>153</v>
      </c>
      <c r="D65" s="6" t="s">
        <v>52</v>
      </c>
      <c r="E65" s="3">
        <v>40</v>
      </c>
      <c r="F65" s="4">
        <v>5</v>
      </c>
      <c r="G65" s="5">
        <v>200</v>
      </c>
    </row>
    <row r="66" spans="1:7" ht="33" x14ac:dyDescent="0.25">
      <c r="A66" s="3" t="s">
        <v>160</v>
      </c>
      <c r="B66" s="3" t="s">
        <v>154</v>
      </c>
      <c r="C66" s="3" t="s">
        <v>153</v>
      </c>
      <c r="D66" s="6" t="s">
        <v>51</v>
      </c>
      <c r="E66" s="3">
        <v>15</v>
      </c>
      <c r="F66" s="4">
        <v>10</v>
      </c>
      <c r="G66" s="5">
        <v>150</v>
      </c>
    </row>
    <row r="67" spans="1:7" ht="33" x14ac:dyDescent="0.25">
      <c r="A67" s="3" t="s">
        <v>161</v>
      </c>
      <c r="B67" s="3" t="s">
        <v>41</v>
      </c>
      <c r="C67" s="3" t="s">
        <v>153</v>
      </c>
      <c r="D67" s="6" t="s">
        <v>51</v>
      </c>
      <c r="E67" s="3">
        <v>80</v>
      </c>
      <c r="F67" s="4">
        <v>1</v>
      </c>
      <c r="G67" s="5">
        <v>80</v>
      </c>
    </row>
    <row r="68" spans="1:7" ht="33" x14ac:dyDescent="0.25">
      <c r="A68" s="3" t="s">
        <v>162</v>
      </c>
      <c r="B68" s="3" t="s">
        <v>42</v>
      </c>
      <c r="C68" s="3" t="s">
        <v>153</v>
      </c>
      <c r="D68" s="6" t="s">
        <v>55</v>
      </c>
      <c r="E68" s="3">
        <v>50</v>
      </c>
      <c r="F68" s="4">
        <v>3</v>
      </c>
      <c r="G68" s="5">
        <v>150</v>
      </c>
    </row>
    <row r="69" spans="1:7" ht="33" x14ac:dyDescent="0.25">
      <c r="A69" s="3" t="s">
        <v>163</v>
      </c>
      <c r="B69" s="3" t="s">
        <v>155</v>
      </c>
      <c r="C69" s="3" t="s">
        <v>153</v>
      </c>
      <c r="D69" s="6" t="s">
        <v>51</v>
      </c>
      <c r="E69" s="3">
        <v>7</v>
      </c>
      <c r="F69" s="4">
        <f>5</f>
        <v>5</v>
      </c>
      <c r="G69" s="5">
        <f>E69*F69</f>
        <v>35</v>
      </c>
    </row>
    <row r="70" spans="1:7" ht="33" x14ac:dyDescent="0.25">
      <c r="A70" s="3" t="s">
        <v>164</v>
      </c>
      <c r="B70" s="3" t="s">
        <v>156</v>
      </c>
      <c r="C70" s="3" t="s">
        <v>153</v>
      </c>
      <c r="D70" s="6" t="s">
        <v>51</v>
      </c>
      <c r="E70" s="3">
        <v>14</v>
      </c>
      <c r="F70" s="4">
        <f>4.5</f>
        <v>4.5</v>
      </c>
      <c r="G70" s="5">
        <f>E70*F70</f>
        <v>63</v>
      </c>
    </row>
    <row r="71" spans="1:7" ht="33" x14ac:dyDescent="0.25">
      <c r="A71" s="3" t="s">
        <v>165</v>
      </c>
      <c r="B71" s="3" t="s">
        <v>157</v>
      </c>
      <c r="C71" s="3" t="s">
        <v>153</v>
      </c>
      <c r="D71" s="6" t="s">
        <v>51</v>
      </c>
      <c r="E71" s="3">
        <v>16</v>
      </c>
      <c r="F71" s="4">
        <f>5.5</f>
        <v>5.5</v>
      </c>
      <c r="G71" s="5">
        <f>E71*F71</f>
        <v>88</v>
      </c>
    </row>
    <row r="72" spans="1:7" ht="33" x14ac:dyDescent="0.25">
      <c r="A72" s="3" t="s">
        <v>166</v>
      </c>
      <c r="B72" s="3" t="s">
        <v>158</v>
      </c>
      <c r="C72" s="3" t="s">
        <v>153</v>
      </c>
      <c r="D72" s="6" t="s">
        <v>51</v>
      </c>
      <c r="E72" s="3">
        <v>48</v>
      </c>
      <c r="F72" s="4">
        <f>1.5</f>
        <v>1.5</v>
      </c>
      <c r="G72" s="5">
        <f>E72*F72</f>
        <v>72</v>
      </c>
    </row>
    <row r="73" spans="1:7" ht="16.5" x14ac:dyDescent="0.25">
      <c r="A73" s="3" t="s">
        <v>171</v>
      </c>
      <c r="B73" s="3" t="s">
        <v>43</v>
      </c>
      <c r="C73" s="3" t="s">
        <v>167</v>
      </c>
      <c r="D73" s="6" t="s">
        <v>53</v>
      </c>
      <c r="E73" s="3">
        <v>90</v>
      </c>
      <c r="F73" s="4">
        <v>0.5</v>
      </c>
      <c r="G73" s="5">
        <v>45</v>
      </c>
    </row>
    <row r="74" spans="1:7" ht="16.5" x14ac:dyDescent="0.25">
      <c r="A74" s="3" t="s">
        <v>172</v>
      </c>
      <c r="B74" s="3" t="s">
        <v>44</v>
      </c>
      <c r="C74" s="3" t="s">
        <v>167</v>
      </c>
      <c r="D74" s="6" t="s">
        <v>51</v>
      </c>
      <c r="E74" s="3">
        <v>60</v>
      </c>
      <c r="F74" s="4">
        <v>0.7</v>
      </c>
      <c r="G74" s="5">
        <v>42</v>
      </c>
    </row>
    <row r="75" spans="1:7" ht="33" x14ac:dyDescent="0.25">
      <c r="A75" s="3" t="s">
        <v>173</v>
      </c>
      <c r="B75" s="3" t="s">
        <v>45</v>
      </c>
      <c r="C75" s="3" t="s">
        <v>167</v>
      </c>
      <c r="D75" s="6" t="s">
        <v>51</v>
      </c>
      <c r="E75" s="3">
        <v>45</v>
      </c>
      <c r="F75" s="4">
        <v>1.5</v>
      </c>
      <c r="G75" s="5">
        <v>67.5</v>
      </c>
    </row>
    <row r="76" spans="1:7" ht="16.5" x14ac:dyDescent="0.25">
      <c r="A76" s="3" t="s">
        <v>174</v>
      </c>
      <c r="B76" s="3" t="s">
        <v>168</v>
      </c>
      <c r="C76" s="3" t="s">
        <v>167</v>
      </c>
      <c r="D76" s="6" t="s">
        <v>51</v>
      </c>
      <c r="E76" s="3">
        <v>120</v>
      </c>
      <c r="F76" s="4">
        <f>1.75</f>
        <v>1.75</v>
      </c>
      <c r="G76" s="5">
        <f>E76*F76</f>
        <v>210</v>
      </c>
    </row>
    <row r="77" spans="1:7" ht="16.5" x14ac:dyDescent="0.25">
      <c r="A77" s="3" t="s">
        <v>175</v>
      </c>
      <c r="B77" s="3" t="s">
        <v>169</v>
      </c>
      <c r="C77" s="3" t="s">
        <v>167</v>
      </c>
      <c r="D77" s="6" t="s">
        <v>51</v>
      </c>
      <c r="E77" s="3">
        <v>110</v>
      </c>
      <c r="F77" s="4">
        <v>3.75</v>
      </c>
      <c r="G77" s="5">
        <f>E77*F77</f>
        <v>412.5</v>
      </c>
    </row>
    <row r="78" spans="1:7" ht="16.5" x14ac:dyDescent="0.25">
      <c r="A78" s="3" t="s">
        <v>176</v>
      </c>
      <c r="B78" s="3" t="s">
        <v>170</v>
      </c>
      <c r="C78" s="3" t="s">
        <v>167</v>
      </c>
      <c r="D78" s="6" t="s">
        <v>51</v>
      </c>
      <c r="E78" s="3">
        <v>20</v>
      </c>
      <c r="F78" s="4">
        <v>0.8</v>
      </c>
      <c r="G78" s="5">
        <v>96</v>
      </c>
    </row>
    <row r="79" spans="1:7" ht="16.5" x14ac:dyDescent="0.25">
      <c r="B79" s="3"/>
      <c r="C79" s="3"/>
      <c r="E79" s="3"/>
      <c r="F79" s="4"/>
      <c r="G79" s="5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9EF7-0230-493C-B951-A58EA5102ACD}">
  <dimension ref="A1:G14"/>
  <sheetViews>
    <sheetView workbookViewId="0">
      <selection activeCell="E3" sqref="E3"/>
    </sheetView>
  </sheetViews>
  <sheetFormatPr baseColWidth="10" defaultRowHeight="15" x14ac:dyDescent="0.25"/>
  <cols>
    <col min="1" max="1" width="6.7109375" customWidth="1"/>
    <col min="2" max="2" width="29.5703125" customWidth="1"/>
    <col min="3" max="3" width="63.42578125" customWidth="1"/>
    <col min="6" max="6" width="14.7109375" customWidth="1"/>
    <col min="7" max="7" width="12.42578125" bestFit="1" customWidth="1"/>
  </cols>
  <sheetData>
    <row r="1" spans="1:7" x14ac:dyDescent="0.25">
      <c r="A1" s="9" t="s">
        <v>255</v>
      </c>
      <c r="B1" s="9" t="s">
        <v>177</v>
      </c>
      <c r="C1" s="9" t="s">
        <v>256</v>
      </c>
      <c r="F1" s="9" t="s">
        <v>178</v>
      </c>
      <c r="G1" s="8" t="s">
        <v>179</v>
      </c>
    </row>
    <row r="2" spans="1:7" ht="84.75" customHeight="1" x14ac:dyDescent="0.3">
      <c r="A2" s="6">
        <v>1</v>
      </c>
      <c r="B2" s="6" t="s">
        <v>180</v>
      </c>
      <c r="C2" s="31" t="s">
        <v>257</v>
      </c>
      <c r="F2" s="10" t="s">
        <v>187</v>
      </c>
      <c r="G2" s="20">
        <v>1548.87</v>
      </c>
    </row>
    <row r="3" spans="1:7" ht="66" x14ac:dyDescent="0.3">
      <c r="A3" s="6">
        <v>2</v>
      </c>
      <c r="B3" s="6" t="s">
        <v>181</v>
      </c>
      <c r="C3" s="31" t="s">
        <v>261</v>
      </c>
      <c r="F3" s="10" t="s">
        <v>188</v>
      </c>
      <c r="G3" s="20">
        <v>1474.76</v>
      </c>
    </row>
    <row r="4" spans="1:7" ht="49.5" x14ac:dyDescent="0.3">
      <c r="A4" s="6">
        <v>3</v>
      </c>
      <c r="B4" s="6" t="s">
        <v>182</v>
      </c>
      <c r="C4" s="16" t="s">
        <v>258</v>
      </c>
      <c r="F4" s="10" t="s">
        <v>189</v>
      </c>
      <c r="G4" s="20">
        <v>4157.3999999999996</v>
      </c>
    </row>
    <row r="5" spans="1:7" ht="33" x14ac:dyDescent="0.3">
      <c r="A5" s="6">
        <v>4</v>
      </c>
      <c r="B5" s="6" t="s">
        <v>183</v>
      </c>
      <c r="C5" s="16" t="s">
        <v>265</v>
      </c>
      <c r="F5" s="10" t="s">
        <v>190</v>
      </c>
      <c r="G5" s="20">
        <v>3304.74</v>
      </c>
    </row>
    <row r="6" spans="1:7" ht="49.5" x14ac:dyDescent="0.3">
      <c r="A6" s="6">
        <v>5</v>
      </c>
      <c r="B6" s="6" t="s">
        <v>184</v>
      </c>
      <c r="C6" s="16" t="s">
        <v>263</v>
      </c>
      <c r="F6" s="10" t="s">
        <v>191</v>
      </c>
      <c r="G6" s="20">
        <v>1077.25</v>
      </c>
    </row>
    <row r="7" spans="1:7" ht="49.5" x14ac:dyDescent="0.3">
      <c r="A7" s="6">
        <v>6</v>
      </c>
      <c r="B7" s="6" t="s">
        <v>185</v>
      </c>
      <c r="C7" s="30" t="s">
        <v>264</v>
      </c>
      <c r="F7" s="10" t="s">
        <v>192</v>
      </c>
      <c r="G7" s="20">
        <v>1146.98</v>
      </c>
    </row>
    <row r="8" spans="1:7" ht="66" x14ac:dyDescent="0.3">
      <c r="A8" s="6">
        <v>7</v>
      </c>
      <c r="B8" s="6" t="s">
        <v>186</v>
      </c>
      <c r="C8" s="32" t="s">
        <v>262</v>
      </c>
      <c r="F8" s="10" t="s">
        <v>193</v>
      </c>
      <c r="G8" s="20">
        <v>108.68</v>
      </c>
    </row>
    <row r="9" spans="1:7" ht="66" x14ac:dyDescent="0.3">
      <c r="A9" s="3">
        <v>8</v>
      </c>
      <c r="B9" s="3" t="s">
        <v>213</v>
      </c>
      <c r="C9" s="31" t="s">
        <v>259</v>
      </c>
      <c r="F9" s="10" t="s">
        <v>194</v>
      </c>
      <c r="G9" s="20">
        <v>3747.19</v>
      </c>
    </row>
    <row r="10" spans="1:7" ht="66" x14ac:dyDescent="0.3">
      <c r="A10" s="6">
        <v>9</v>
      </c>
      <c r="B10" s="6" t="s">
        <v>214</v>
      </c>
      <c r="C10" s="16" t="s">
        <v>260</v>
      </c>
      <c r="F10" s="10" t="s">
        <v>195</v>
      </c>
      <c r="G10" s="20">
        <v>6383.5</v>
      </c>
    </row>
    <row r="11" spans="1:7" ht="16.5" x14ac:dyDescent="0.3">
      <c r="F11" s="10" t="s">
        <v>196</v>
      </c>
      <c r="G11" s="20">
        <v>1637.11</v>
      </c>
    </row>
    <row r="12" spans="1:7" ht="16.5" x14ac:dyDescent="0.3">
      <c r="F12" s="10" t="s">
        <v>197</v>
      </c>
      <c r="G12" s="20">
        <v>1724.12</v>
      </c>
    </row>
    <row r="13" spans="1:7" ht="16.5" x14ac:dyDescent="0.3">
      <c r="F13" s="10" t="s">
        <v>198</v>
      </c>
      <c r="G13" s="20">
        <v>2530.36</v>
      </c>
    </row>
    <row r="14" spans="1:7" ht="16.5" x14ac:dyDescent="0.3">
      <c r="F14" s="9" t="s">
        <v>212</v>
      </c>
      <c r="G14" s="20">
        <f>SUM(G2:G13)</f>
        <v>28840.959999999999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E50C-F492-47A7-9A7C-C91480A36C99}">
  <dimension ref="A2:J46"/>
  <sheetViews>
    <sheetView zoomScaleNormal="100" workbookViewId="0">
      <selection activeCell="K10" sqref="K10"/>
    </sheetView>
  </sheetViews>
  <sheetFormatPr baseColWidth="10" defaultRowHeight="15" x14ac:dyDescent="0.25"/>
  <cols>
    <col min="1" max="1" width="11.7109375" customWidth="1"/>
    <col min="2" max="2" width="31" customWidth="1"/>
    <col min="4" max="4" width="16.7109375" customWidth="1"/>
    <col min="6" max="6" width="11.42578125" customWidth="1"/>
    <col min="8" max="8" width="29.42578125" customWidth="1"/>
  </cols>
  <sheetData>
    <row r="2" spans="1:10" x14ac:dyDescent="0.25">
      <c r="A2" s="9" t="s">
        <v>204</v>
      </c>
      <c r="B2" s="9" t="s">
        <v>250</v>
      </c>
      <c r="C2" s="9" t="s">
        <v>202</v>
      </c>
    </row>
    <row r="3" spans="1:10" ht="16.5" x14ac:dyDescent="0.3">
      <c r="A3" s="1">
        <v>1</v>
      </c>
      <c r="B3" s="3" t="s">
        <v>201</v>
      </c>
      <c r="C3" s="11">
        <v>480</v>
      </c>
      <c r="G3" s="21" t="s">
        <v>215</v>
      </c>
      <c r="H3" s="21"/>
      <c r="I3" s="9" t="s">
        <v>216</v>
      </c>
      <c r="J3" s="7"/>
    </row>
    <row r="4" spans="1:10" ht="16.5" x14ac:dyDescent="0.3">
      <c r="A4" s="1">
        <v>2</v>
      </c>
      <c r="B4" s="10" t="s">
        <v>249</v>
      </c>
      <c r="C4" s="11">
        <v>440</v>
      </c>
      <c r="G4" s="28" t="s">
        <v>217</v>
      </c>
      <c r="H4" s="28"/>
      <c r="I4" s="12">
        <f>C15</f>
        <v>1552.5</v>
      </c>
      <c r="J4" s="7"/>
    </row>
    <row r="5" spans="1:10" ht="16.5" x14ac:dyDescent="0.3">
      <c r="A5" s="1">
        <v>3</v>
      </c>
      <c r="B5" s="10" t="s">
        <v>200</v>
      </c>
      <c r="C5" s="11">
        <v>400</v>
      </c>
      <c r="G5" s="28" t="s">
        <v>218</v>
      </c>
      <c r="H5" s="28"/>
      <c r="I5" s="12">
        <f>C46</f>
        <v>920</v>
      </c>
      <c r="J5" s="7"/>
    </row>
    <row r="6" spans="1:10" ht="16.5" x14ac:dyDescent="0.3">
      <c r="A6" s="21" t="s">
        <v>203</v>
      </c>
      <c r="B6" s="21"/>
      <c r="C6" s="11">
        <f>SUM(C3:C5)</f>
        <v>1320</v>
      </c>
      <c r="G6" s="29" t="s">
        <v>219</v>
      </c>
      <c r="H6" s="29"/>
      <c r="I6" s="19">
        <f>C41</f>
        <v>3980</v>
      </c>
      <c r="J6" s="7"/>
    </row>
    <row r="7" spans="1:10" ht="16.5" x14ac:dyDescent="0.3">
      <c r="G7" s="22" t="s">
        <v>221</v>
      </c>
      <c r="H7" s="22"/>
      <c r="I7" s="12">
        <f>SUM(I4:I6)</f>
        <v>6452.5</v>
      </c>
    </row>
    <row r="8" spans="1:10" x14ac:dyDescent="0.25">
      <c r="A8" s="1" t="s">
        <v>204</v>
      </c>
      <c r="B8" s="2" t="s">
        <v>199</v>
      </c>
      <c r="C8" s="1" t="s">
        <v>202</v>
      </c>
    </row>
    <row r="9" spans="1:10" ht="16.5" x14ac:dyDescent="0.3">
      <c r="A9" s="8">
        <v>1</v>
      </c>
      <c r="B9" s="7" t="s">
        <v>205</v>
      </c>
      <c r="C9" s="12">
        <v>86</v>
      </c>
      <c r="G9" s="21" t="s">
        <v>251</v>
      </c>
      <c r="H9" s="24"/>
      <c r="I9" s="8" t="s">
        <v>216</v>
      </c>
    </row>
    <row r="10" spans="1:10" ht="16.5" x14ac:dyDescent="0.3">
      <c r="A10" s="8">
        <v>2</v>
      </c>
      <c r="B10" s="7" t="s">
        <v>208</v>
      </c>
      <c r="C10" s="12">
        <v>20</v>
      </c>
      <c r="G10" s="24" t="s">
        <v>252</v>
      </c>
      <c r="H10" s="24"/>
      <c r="I10" s="12">
        <f>C6</f>
        <v>1320</v>
      </c>
    </row>
    <row r="11" spans="1:10" ht="16.5" x14ac:dyDescent="0.3">
      <c r="A11" s="8">
        <v>3</v>
      </c>
      <c r="B11" s="7" t="s">
        <v>207</v>
      </c>
      <c r="C11" s="12">
        <v>22.4</v>
      </c>
      <c r="G11" s="24" t="s">
        <v>253</v>
      </c>
      <c r="H11" s="24"/>
      <c r="I11" s="12">
        <f>C12</f>
        <v>128.4</v>
      </c>
    </row>
    <row r="12" spans="1:10" ht="16.5" x14ac:dyDescent="0.3">
      <c r="A12" s="26" t="s">
        <v>203</v>
      </c>
      <c r="B12" s="27"/>
      <c r="C12" s="12">
        <f>C9+C10+C11</f>
        <v>128.4</v>
      </c>
      <c r="G12" s="24" t="s">
        <v>254</v>
      </c>
      <c r="H12" s="24"/>
      <c r="I12" s="12">
        <v>250</v>
      </c>
    </row>
    <row r="13" spans="1:10" ht="16.5" x14ac:dyDescent="0.3">
      <c r="A13" s="7"/>
      <c r="B13" s="7"/>
      <c r="C13" s="12"/>
      <c r="G13" s="21" t="s">
        <v>221</v>
      </c>
      <c r="H13" s="24"/>
      <c r="I13" s="12">
        <f>SUM(I10:I12)</f>
        <v>1698.4</v>
      </c>
    </row>
    <row r="14" spans="1:10" x14ac:dyDescent="0.25">
      <c r="A14" s="8" t="s">
        <v>204</v>
      </c>
      <c r="B14" s="8" t="s">
        <v>209</v>
      </c>
      <c r="C14" s="8" t="s">
        <v>211</v>
      </c>
    </row>
    <row r="15" spans="1:10" ht="16.5" x14ac:dyDescent="0.3">
      <c r="A15" s="8">
        <v>1</v>
      </c>
      <c r="B15" s="6" t="s">
        <v>206</v>
      </c>
      <c r="C15" s="14">
        <v>1552.5</v>
      </c>
    </row>
    <row r="16" spans="1:10" ht="16.5" customHeight="1" x14ac:dyDescent="0.3">
      <c r="A16" s="8">
        <v>2</v>
      </c>
      <c r="B16" s="13" t="s">
        <v>210</v>
      </c>
      <c r="C16" s="15">
        <v>35</v>
      </c>
    </row>
    <row r="17" spans="1:4" ht="16.5" x14ac:dyDescent="0.3">
      <c r="A17" s="21" t="s">
        <v>203</v>
      </c>
      <c r="B17" s="21"/>
      <c r="C17" s="14">
        <f>C15+C16</f>
        <v>1587.5</v>
      </c>
    </row>
    <row r="19" spans="1:4" ht="42.75" customHeight="1" x14ac:dyDescent="0.25">
      <c r="A19" s="2" t="s">
        <v>230</v>
      </c>
      <c r="B19" s="1" t="s">
        <v>222</v>
      </c>
      <c r="C19" s="2" t="s">
        <v>245</v>
      </c>
      <c r="D19" s="2" t="s">
        <v>246</v>
      </c>
    </row>
    <row r="20" spans="1:4" x14ac:dyDescent="0.25">
      <c r="A20" s="21" t="s">
        <v>223</v>
      </c>
      <c r="B20" s="21"/>
      <c r="C20" s="21"/>
      <c r="D20" s="21"/>
    </row>
    <row r="21" spans="1:4" ht="16.5" x14ac:dyDescent="0.3">
      <c r="A21" s="9">
        <v>2</v>
      </c>
      <c r="B21" s="7" t="s">
        <v>224</v>
      </c>
      <c r="C21" s="17">
        <v>250</v>
      </c>
      <c r="D21" s="17">
        <v>500</v>
      </c>
    </row>
    <row r="22" spans="1:4" ht="16.5" x14ac:dyDescent="0.3">
      <c r="A22" s="9">
        <v>5</v>
      </c>
      <c r="B22" s="7" t="s">
        <v>225</v>
      </c>
      <c r="C22" s="17">
        <v>150</v>
      </c>
      <c r="D22" s="17">
        <v>750</v>
      </c>
    </row>
    <row r="23" spans="1:4" ht="16.5" x14ac:dyDescent="0.3">
      <c r="A23" s="21" t="s">
        <v>226</v>
      </c>
      <c r="B23" s="21"/>
      <c r="C23" s="21"/>
      <c r="D23" s="7"/>
    </row>
    <row r="24" spans="1:4" ht="16.5" x14ac:dyDescent="0.3">
      <c r="A24" s="9">
        <v>1</v>
      </c>
      <c r="B24" s="7" t="s">
        <v>227</v>
      </c>
      <c r="C24" s="17">
        <v>40</v>
      </c>
      <c r="D24" s="17">
        <v>40</v>
      </c>
    </row>
    <row r="25" spans="1:4" ht="16.5" x14ac:dyDescent="0.3">
      <c r="A25" s="9">
        <v>1</v>
      </c>
      <c r="B25" s="7" t="s">
        <v>228</v>
      </c>
      <c r="C25" s="17">
        <v>40</v>
      </c>
      <c r="D25" s="17">
        <v>40</v>
      </c>
    </row>
    <row r="26" spans="1:4" ht="16.5" x14ac:dyDescent="0.3">
      <c r="A26" s="9">
        <v>3</v>
      </c>
      <c r="B26" s="7" t="s">
        <v>229</v>
      </c>
      <c r="C26" s="17">
        <v>50</v>
      </c>
      <c r="D26" s="17">
        <v>150</v>
      </c>
    </row>
    <row r="27" spans="1:4" ht="16.5" x14ac:dyDescent="0.3">
      <c r="A27" s="9">
        <v>6</v>
      </c>
      <c r="B27" s="7" t="s">
        <v>234</v>
      </c>
      <c r="C27" s="17">
        <v>50</v>
      </c>
      <c r="D27" s="17">
        <v>300</v>
      </c>
    </row>
    <row r="28" spans="1:4" ht="16.5" customHeight="1" x14ac:dyDescent="0.3">
      <c r="A28" s="21" t="s">
        <v>231</v>
      </c>
      <c r="B28" s="21"/>
      <c r="C28" s="21"/>
      <c r="D28" s="7"/>
    </row>
    <row r="29" spans="1:4" ht="16.5" x14ac:dyDescent="0.3">
      <c r="A29" s="9">
        <v>4</v>
      </c>
      <c r="B29" s="7" t="s">
        <v>232</v>
      </c>
      <c r="C29" s="17">
        <v>180</v>
      </c>
      <c r="D29" s="17">
        <v>720</v>
      </c>
    </row>
    <row r="30" spans="1:4" ht="16.5" x14ac:dyDescent="0.3">
      <c r="A30" s="9">
        <v>7</v>
      </c>
      <c r="B30" s="7" t="s">
        <v>233</v>
      </c>
      <c r="C30" s="17">
        <v>100</v>
      </c>
      <c r="D30" s="17">
        <v>700</v>
      </c>
    </row>
    <row r="31" spans="1:4" ht="16.5" x14ac:dyDescent="0.3">
      <c r="A31" s="21" t="s">
        <v>235</v>
      </c>
      <c r="B31" s="21"/>
      <c r="C31" s="21"/>
      <c r="D31" s="7"/>
    </row>
    <row r="32" spans="1:4" ht="16.5" x14ac:dyDescent="0.3">
      <c r="A32" s="9">
        <v>1</v>
      </c>
      <c r="B32" s="7" t="s">
        <v>236</v>
      </c>
      <c r="C32" s="18">
        <v>20</v>
      </c>
      <c r="D32" s="17">
        <v>20</v>
      </c>
    </row>
    <row r="33" spans="1:4" ht="16.5" x14ac:dyDescent="0.3">
      <c r="A33" s="9">
        <v>1</v>
      </c>
      <c r="B33" s="7" t="s">
        <v>237</v>
      </c>
      <c r="C33" s="18">
        <v>20</v>
      </c>
      <c r="D33" s="17">
        <v>20</v>
      </c>
    </row>
    <row r="34" spans="1:4" ht="16.5" x14ac:dyDescent="0.3">
      <c r="A34" s="9">
        <v>1</v>
      </c>
      <c r="B34" s="7" t="s">
        <v>238</v>
      </c>
      <c r="C34" s="18">
        <v>20</v>
      </c>
      <c r="D34" s="17">
        <v>20</v>
      </c>
    </row>
    <row r="35" spans="1:4" ht="16.5" x14ac:dyDescent="0.3">
      <c r="A35" s="9">
        <v>1</v>
      </c>
      <c r="B35" s="7" t="s">
        <v>239</v>
      </c>
      <c r="C35" s="18">
        <v>20</v>
      </c>
      <c r="D35" s="17">
        <v>20</v>
      </c>
    </row>
    <row r="36" spans="1:4" ht="33" x14ac:dyDescent="0.3">
      <c r="A36" s="9">
        <v>2</v>
      </c>
      <c r="B36" s="16" t="s">
        <v>240</v>
      </c>
      <c r="C36" s="18">
        <v>30</v>
      </c>
      <c r="D36" s="17">
        <v>60</v>
      </c>
    </row>
    <row r="37" spans="1:4" ht="16.5" x14ac:dyDescent="0.3">
      <c r="A37" s="22" t="s">
        <v>241</v>
      </c>
      <c r="B37" s="23"/>
      <c r="C37" s="23"/>
      <c r="D37" s="7"/>
    </row>
    <row r="38" spans="1:4" ht="16.5" x14ac:dyDescent="0.3">
      <c r="A38" s="9">
        <v>3</v>
      </c>
      <c r="B38" s="7" t="s">
        <v>242</v>
      </c>
      <c r="C38" s="18">
        <v>150</v>
      </c>
      <c r="D38" s="17">
        <v>450</v>
      </c>
    </row>
    <row r="39" spans="1:4" ht="16.5" x14ac:dyDescent="0.3">
      <c r="A39" s="9">
        <v>1</v>
      </c>
      <c r="B39" s="7" t="s">
        <v>243</v>
      </c>
      <c r="C39" s="18">
        <v>100</v>
      </c>
      <c r="D39" s="17">
        <v>100</v>
      </c>
    </row>
    <row r="40" spans="1:4" ht="16.5" x14ac:dyDescent="0.3">
      <c r="A40" s="9">
        <v>1</v>
      </c>
      <c r="B40" s="7" t="s">
        <v>244</v>
      </c>
      <c r="C40" s="18">
        <v>90</v>
      </c>
      <c r="D40" s="17">
        <v>90</v>
      </c>
    </row>
    <row r="41" spans="1:4" ht="16.5" x14ac:dyDescent="0.3">
      <c r="A41" s="21" t="s">
        <v>221</v>
      </c>
      <c r="B41" s="24"/>
      <c r="C41" s="25">
        <f>SUM(D21:D22,D24:D27,D29:D30,D32:D36,D38:D40)</f>
        <v>3980</v>
      </c>
      <c r="D41" s="21"/>
    </row>
    <row r="43" spans="1:4" x14ac:dyDescent="0.25">
      <c r="A43" s="9" t="s">
        <v>204</v>
      </c>
      <c r="B43" s="9" t="s">
        <v>247</v>
      </c>
      <c r="C43" s="9" t="s">
        <v>202</v>
      </c>
    </row>
    <row r="44" spans="1:4" ht="16.5" x14ac:dyDescent="0.3">
      <c r="A44" s="1">
        <v>1</v>
      </c>
      <c r="B44" s="3" t="s">
        <v>220</v>
      </c>
      <c r="C44" s="11">
        <v>480</v>
      </c>
    </row>
    <row r="45" spans="1:4" ht="16.5" x14ac:dyDescent="0.3">
      <c r="A45" s="1">
        <v>2</v>
      </c>
      <c r="B45" s="10" t="s">
        <v>248</v>
      </c>
      <c r="C45" s="11">
        <v>440</v>
      </c>
    </row>
    <row r="46" spans="1:4" ht="16.5" x14ac:dyDescent="0.3">
      <c r="A46" s="21" t="s">
        <v>203</v>
      </c>
      <c r="B46" s="21"/>
      <c r="C46" s="11">
        <f>SUM(C44:C45)</f>
        <v>920</v>
      </c>
    </row>
  </sheetData>
  <mergeCells count="21">
    <mergeCell ref="A6:B6"/>
    <mergeCell ref="A12:B12"/>
    <mergeCell ref="A17:B17"/>
    <mergeCell ref="G3:H3"/>
    <mergeCell ref="G4:H4"/>
    <mergeCell ref="G5:H5"/>
    <mergeCell ref="G6:H6"/>
    <mergeCell ref="G7:H7"/>
    <mergeCell ref="G9:H9"/>
    <mergeCell ref="G10:H10"/>
    <mergeCell ref="G11:H11"/>
    <mergeCell ref="G12:H12"/>
    <mergeCell ref="G13:H13"/>
    <mergeCell ref="A31:C31"/>
    <mergeCell ref="A37:C37"/>
    <mergeCell ref="A41:B41"/>
    <mergeCell ref="A20:D20"/>
    <mergeCell ref="A46:B46"/>
    <mergeCell ref="C41:D41"/>
    <mergeCell ref="A23:C23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Proveedores mensuales</vt:lpstr>
      <vt:lpstr>Gastos Adm.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DARLYN CONGO SUAREZ</dc:creator>
  <cp:lastModifiedBy>DARLYN CONGO SUAREZ</cp:lastModifiedBy>
  <dcterms:created xsi:type="dcterms:W3CDTF">2025-11-17T23:01:10Z</dcterms:created>
  <dcterms:modified xsi:type="dcterms:W3CDTF">2025-11-25T02:32:32Z</dcterms:modified>
</cp:coreProperties>
</file>